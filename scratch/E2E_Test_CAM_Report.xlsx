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 Underwriting Memo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Counterparty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Daily Balance" sheetId="8" state="visible" r:id="rId8"/>
    <sheet xmlns:r="http://schemas.openxmlformats.org/officeDocument/2006/relationships" name="Recurring Payments" sheetId="9" state="visible" r:id="rId9"/>
    <sheet xmlns:r="http://schemas.openxmlformats.org/officeDocument/2006/relationships" name="Salary Txns" sheetId="10" state="visible" r:id="rId10"/>
    <sheet xmlns:r="http://schemas.openxmlformats.org/officeDocument/2006/relationships" name="Cash Txns" sheetId="11" state="visible" r:id="rId11"/>
    <sheet xmlns:r="http://schemas.openxmlformats.org/officeDocument/2006/relationships" name="Cheque Txns" sheetId="12" state="visible" r:id="rId12"/>
    <sheet xmlns:r="http://schemas.openxmlformats.org/officeDocument/2006/relationships" name="UPI Txns" sheetId="13" state="visible" r:id="rId13"/>
    <sheet xmlns:r="http://schemas.openxmlformats.org/officeDocument/2006/relationships" name="Self Txns" sheetId="14" state="visible" r:id="rId14"/>
    <sheet xmlns:r="http://schemas.openxmlformats.org/officeDocument/2006/relationships" name="Loans &amp; EMI" sheetId="15" state="visible" r:id="rId15"/>
    <sheet xmlns:r="http://schemas.openxmlformats.org/officeDocument/2006/relationships" name="High Value Txns" sheetId="16" state="visible" r:id="rId16"/>
    <sheet xmlns:r="http://schemas.openxmlformats.org/officeDocument/2006/relationships" name="Irregularities" sheetId="17" state="visible" r:id="rId17"/>
    <sheet xmlns:r="http://schemas.openxmlformats.org/officeDocument/2006/relationships" name="E · Income" sheetId="18" state="visible" r:id="rId18"/>
    <sheet xmlns:r="http://schemas.openxmlformats.org/officeDocument/2006/relationships" name="E · Expense" sheetId="19" state="visible" r:id="rId19"/>
    <sheet xmlns:r="http://schemas.openxmlformats.org/officeDocument/2006/relationships" name="E · Balance" sheetId="20" state="visible" r:id="rId20"/>
    <sheet xmlns:r="http://schemas.openxmlformats.org/officeDocument/2006/relationships" name="E · Cash Flow" sheetId="21" state="visible" r:id="rId21"/>
    <sheet xmlns:r="http://schemas.openxmlformats.org/officeDocument/2006/relationships" name="E · Savings" sheetId="22" state="visible" r:id="rId22"/>
    <sheet xmlns:r="http://schemas.openxmlformats.org/officeDocument/2006/relationships" name="E · Investment" sheetId="23" state="visible" r:id="rId23"/>
    <sheet xmlns:r="http://schemas.openxmlformats.org/officeDocument/2006/relationships" name="E · Debt" sheetId="24" state="visible" r:id="rId24"/>
    <sheet xmlns:r="http://schemas.openxmlformats.org/officeDocument/2006/relationships" name="E · Behaviour" sheetId="25" state="visible" r:id="rId25"/>
    <sheet xmlns:r="http://schemas.openxmlformats.org/officeDocument/2006/relationships" name="E · Fraud &amp; AML" sheetId="26" state="visible" r:id="rId26"/>
    <sheet xmlns:r="http://schemas.openxmlformats.org/officeDocument/2006/relationships" name="Credit Score" sheetId="27" state="visible" r:id="rId27"/>
    <sheet xmlns:r="http://schemas.openxmlformats.org/officeDocument/2006/relationships" name="Verification" sheetId="28" state="visible" r:id="rId28"/>
  </sheets>
  <definedNames>
    <definedName name="_xlnm._FilterDatabase" localSheetId="3" hidden="1">'Transactions'!$A$1:$N$5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[Red](#,##0.00);0"/>
    <numFmt numFmtId="165" formatCode="#,##0;[Red](#,##0);0"/>
    <numFmt numFmtId="166" formatCode="0.0"/>
    <numFmt numFmtId="167" formatCode="0.000"/>
    <numFmt numFmtId="168" formatCode="0.0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00000"/>
      <sz val="12"/>
    </font>
    <font>
      <name val="Calibri"/>
      <color rgb="005D6873"/>
      <sz val="11"/>
    </font>
    <font>
      <name val="Calibri"/>
      <color rgb="005D6873"/>
      <sz val="10"/>
    </font>
    <font>
      <name val="Calibri"/>
      <b val="1"/>
      <color rgb="002769BA"/>
      <sz val="18"/>
    </font>
    <font>
      <name val="Calibri"/>
      <color rgb="005D6873"/>
      <sz val="12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F7A3D"/>
      <sz val="11"/>
    </font>
  </fonts>
  <fills count="5">
    <fill>
      <patternFill/>
    </fill>
    <fill>
      <patternFill patternType="gray125"/>
    </fill>
    <fill>
      <patternFill patternType="solid">
        <fgColor rgb="002769BA"/>
      </patternFill>
    </fill>
    <fill>
      <patternFill patternType="solid">
        <fgColor rgb="00EAF1F9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D6DCE3"/>
      </left>
      <right style="thin">
        <color rgb="00D6DCE3"/>
      </right>
      <top style="thin">
        <color rgb="00D6DCE3"/>
      </top>
      <bottom style="thin">
        <color rgb="00D6DC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3" fillId="0" borderId="1" pivotButton="0" quotePrefix="0" xfId="0"/>
    <xf numFmtId="0" fontId="12" fillId="0" borderId="1" pivotButton="0" quotePrefix="0" xfId="0"/>
    <xf numFmtId="164" fontId="3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4" fillId="0" borderId="1" pivotButton="0" quotePrefix="0" xfId="0"/>
    <xf numFmtId="165" fontId="4" fillId="0" borderId="1" pivotButton="0" quotePrefix="0" xfId="0"/>
    <xf numFmtId="2" fontId="3" fillId="0" borderId="1" pivotButton="0" quotePrefix="0" xfId="0"/>
    <xf numFmtId="0" fontId="5" fillId="0" borderId="0" pivotButton="0" quotePrefix="0" xfId="0"/>
    <xf numFmtId="165" fontId="3" fillId="0" borderId="1" pivotButton="0" quotePrefix="0" xfId="0"/>
    <xf numFmtId="0" fontId="6" fillId="0" borderId="0" pivotButton="0" quotePrefix="0" xfId="0"/>
    <xf numFmtId="166" fontId="3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0" fontId="4" fillId="0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30" customWidth="1" min="4" max="4"/>
    <col width="12" customWidth="1" min="5" max="5"/>
    <col width="10" customWidth="1" min="6" max="6"/>
  </cols>
  <sheetData>
    <row r="1" ht="26" customHeight="1">
      <c r="A1" s="1" t="inlineStr">
        <is>
          <t>CREDIT APPRAISAL MEMO (CAM) — UNDERWRITING MEMORANDUM</t>
        </is>
      </c>
    </row>
    <row r="2" ht="18" customHeight="1">
      <c r="A2" s="2" t="inlineStr">
        <is>
          <t>CONFIDENTIAL CREDIT ASSESSMENT · Test Borrower Enterprises · HDFC Bank</t>
        </is>
      </c>
    </row>
    <row r="3"/>
    <row r="4" ht="20" customHeight="1">
      <c r="A4" s="3" t="inlineStr">
        <is>
          <t>1. Borrower &amp; Statement Demographics</t>
        </is>
      </c>
      <c r="B4" s="4" t="n"/>
      <c r="C4" s="4" t="n"/>
      <c r="D4" s="4" t="n"/>
      <c r="E4" s="4" t="n"/>
      <c r="F4" s="4" t="n"/>
    </row>
    <row r="5" ht="28" customHeight="1">
      <c r="A5" s="5" t="inlineStr">
        <is>
          <t>Parameter</t>
        </is>
      </c>
      <c r="B5" s="5" t="inlineStr">
        <is>
          <t>Value</t>
        </is>
      </c>
      <c r="C5" s="5" t="inlineStr"/>
      <c r="D5" s="5" t="inlineStr">
        <is>
          <t>Parameter</t>
        </is>
      </c>
      <c r="E5" s="5" t="inlineStr">
        <is>
          <t>Value</t>
        </is>
      </c>
      <c r="F5" s="5" t="inlineStr"/>
    </row>
    <row r="6">
      <c r="A6" s="6" t="inlineStr">
        <is>
          <t>Applicant Name</t>
        </is>
      </c>
      <c r="B6" s="7" t="inlineStr">
        <is>
          <t>Test Borrower Enterprises</t>
        </is>
      </c>
      <c r="D6" s="6" t="inlineStr">
        <is>
          <t>Application ID</t>
        </is>
      </c>
      <c r="E6" s="7" t="inlineStr">
        <is>
          <t>NA</t>
        </is>
      </c>
    </row>
    <row r="7">
      <c r="A7" s="6" t="inlineStr">
        <is>
          <t>Bank Name</t>
        </is>
      </c>
      <c r="B7" s="7" t="inlineStr">
        <is>
          <t>HDFC Bank</t>
        </is>
      </c>
      <c r="D7" s="6" t="inlineStr">
        <is>
          <t>Statement Period</t>
        </is>
      </c>
      <c r="E7" s="7" t="inlineStr">
        <is>
          <t>NA</t>
        </is>
      </c>
    </row>
    <row r="8">
      <c r="A8" s="6" t="inlineStr">
        <is>
          <t>Evaluation Date</t>
        </is>
      </c>
      <c r="B8" s="7" t="inlineStr">
        <is>
          <t>21-Sep-2026 21:38</t>
        </is>
      </c>
      <c r="D8" s="6" t="inlineStr">
        <is>
          <t>Audit Fidelity</t>
        </is>
      </c>
      <c r="E8" s="7" t="inlineStr">
        <is>
          <t>UNVERIFIED</t>
        </is>
      </c>
    </row>
    <row r="9"/>
    <row r="10" ht="20" customHeight="1">
      <c r="A10" s="3" t="inlineStr">
        <is>
          <t>2. Credit Sanction &amp; Underwriting Scorecard</t>
        </is>
      </c>
      <c r="B10" s="4" t="n"/>
      <c r="C10" s="4" t="n"/>
      <c r="D10" s="4" t="n"/>
      <c r="E10" s="4" t="n"/>
      <c r="F10" s="4" t="n"/>
    </row>
    <row r="11" ht="28" customHeight="1">
      <c r="A11" s="5" t="inlineStr">
        <is>
          <t>Metric</t>
        </is>
      </c>
      <c r="B11" s="5" t="inlineStr">
        <is>
          <t>Evaluated Value</t>
        </is>
      </c>
      <c r="C11" s="5" t="inlineStr">
        <is>
          <t>Benchmark / Range</t>
        </is>
      </c>
      <c r="D11" s="5" t="inlineStr">
        <is>
          <t>Assessment Notes</t>
        </is>
      </c>
      <c r="E11" s="5" t="inlineStr"/>
      <c r="F11" s="5" t="inlineStr"/>
    </row>
    <row r="12">
      <c r="A12" s="6" t="inlineStr">
        <is>
          <t>Composite Credit Score</t>
        </is>
      </c>
      <c r="B12" s="7" t="n">
        <v>780</v>
      </c>
      <c r="C12" s="7" t="inlineStr">
        <is>
          <t>0 – 1000 (&gt;= 650 is Prime)</t>
        </is>
      </c>
      <c r="D12" s="7" t="inlineStr">
        <is>
          <t>Derived from 9 deterministic behavioral engines</t>
        </is>
      </c>
    </row>
    <row r="13">
      <c r="A13" s="6" t="inlineStr">
        <is>
          <t>Credit Risk Tier</t>
        </is>
      </c>
      <c r="B13" s="7" t="inlineStr">
        <is>
          <t>Prime</t>
        </is>
      </c>
      <c r="C13" s="7" t="inlineStr">
        <is>
          <t>Prime / Moderate / High</t>
        </is>
      </c>
      <c r="D13" s="7" t="inlineStr">
        <is>
          <t>Risk categorization band</t>
        </is>
      </c>
    </row>
    <row r="14">
      <c r="A14" s="6" t="inlineStr">
        <is>
          <t>Underwriting Recommendation</t>
        </is>
      </c>
      <c r="B14" s="8" t="inlineStr">
        <is>
          <t>APPROVE_STANDARD</t>
        </is>
      </c>
      <c r="C14" s="7" t="inlineStr">
        <is>
          <t>Fast-Track / Standard / Review / Reject</t>
        </is>
      </c>
      <c r="D14" s="7" t="inlineStr">
        <is>
          <t>Recommended sanction path</t>
        </is>
      </c>
    </row>
    <row r="15">
      <c r="A15" s="6" t="inlineStr">
        <is>
          <t>Decision Governance Note</t>
        </is>
      </c>
      <c r="B15" s="7" t="inlineStr">
        <is>
          <t>Borrower demonstrates exemplary repayment discipline.</t>
        </is>
      </c>
      <c r="C15" s="7" t="inlineStr">
        <is>
          <t>Policy Compliance</t>
        </is>
      </c>
      <c r="D15" s="7" t="inlineStr">
        <is>
          <t>Committee alert / escalation note</t>
        </is>
      </c>
    </row>
    <row r="16"/>
    <row r="17" ht="20" customHeight="1">
      <c r="A17" s="3" t="inlineStr">
        <is>
          <t>3. Banking Turnover, Liquidity &amp; Inflation Adjustment</t>
        </is>
      </c>
      <c r="B17" s="4" t="n"/>
      <c r="C17" s="4" t="n"/>
      <c r="D17" s="4" t="n"/>
      <c r="E17" s="4" t="n"/>
      <c r="F17" s="4" t="n"/>
    </row>
    <row r="18" ht="28" customHeight="1">
      <c r="A18" s="5" t="inlineStr">
        <is>
          <t>Metric</t>
        </is>
      </c>
      <c r="B18" s="5" t="inlineStr">
        <is>
          <t>Amount (₹)</t>
        </is>
      </c>
      <c r="C18" s="5" t="inlineStr">
        <is>
          <t>Adjusted / Ratio</t>
        </is>
      </c>
      <c r="D18" s="5" t="inlineStr">
        <is>
          <t>Underwriting Impact</t>
        </is>
      </c>
      <c r="E18" s="5" t="inlineStr"/>
      <c r="F18" s="5" t="inlineStr"/>
    </row>
    <row r="19">
      <c r="A19" s="6" t="inlineStr">
        <is>
          <t>Gross Reported Inflow (Turnover)</t>
        </is>
      </c>
      <c r="B19" s="9" t="n">
        <v>85000</v>
      </c>
      <c r="C19" s="7" t="inlineStr">
        <is>
          <t>Gross Credits</t>
        </is>
      </c>
      <c r="D19" s="7" t="inlineStr">
        <is>
          <t>Raw turnover from all statement deposits</t>
        </is>
      </c>
    </row>
    <row r="20">
      <c r="A20" s="6" t="inlineStr">
        <is>
          <t>Circular / Mirrored Transfers</t>
        </is>
      </c>
      <c r="B20" s="9" t="n">
        <v>0</v>
      </c>
      <c r="C20" s="7" t="inlineStr">
        <is>
          <t>Symmetric Loops</t>
        </is>
      </c>
      <c r="D20" s="7" t="inlineStr">
        <is>
          <t>Turnover inflation filtered out (non-genuine)</t>
        </is>
      </c>
    </row>
    <row r="21">
      <c r="A21" s="6" t="inlineStr">
        <is>
          <t>True Underwriting Turnover</t>
        </is>
      </c>
      <c r="B21" s="9" t="n">
        <v>85000</v>
      </c>
      <c r="C21" s="7" t="inlineStr">
        <is>
          <t>Net Business Turnover</t>
        </is>
      </c>
      <c r="D21" s="7" t="inlineStr">
        <is>
          <t>Verified banking velocity for loan sizing</t>
        </is>
      </c>
    </row>
    <row r="22">
      <c r="A22" s="6" t="inlineStr">
        <is>
          <t>Average Daily Balance (ADB)</t>
        </is>
      </c>
      <c r="B22" s="9" t="n">
        <v>65000</v>
      </c>
      <c r="C22" s="7" t="inlineStr">
        <is>
          <t>Minimum Liquidity</t>
        </is>
      </c>
      <c r="D22" s="7" t="inlineStr">
        <is>
          <t>Baseline account liquidity cushion</t>
        </is>
      </c>
    </row>
    <row r="23">
      <c r="A23" s="6" t="inlineStr">
        <is>
          <t>Total Outflows</t>
        </is>
      </c>
      <c r="B23" s="9" t="n">
        <v>31150</v>
      </c>
      <c r="C23" s="7" t="inlineStr">
        <is>
          <t>Gross Debits</t>
        </is>
      </c>
      <c r="D23" s="7" t="inlineStr">
        <is>
          <t>Total expenditure and obligations serviced</t>
        </is>
      </c>
    </row>
    <row r="24">
      <c r="A24" s="6" t="inlineStr">
        <is>
          <t>Balance Volatility</t>
        </is>
      </c>
      <c r="B24" s="7" t="inlineStr">
        <is>
          <t>LOW</t>
        </is>
      </c>
      <c r="C24" s="7" t="inlineStr">
        <is>
          <t>Cash Flow Stability</t>
        </is>
      </c>
      <c r="D24" s="7" t="inlineStr">
        <is>
          <t>Stability of daily balances across billing cycle</t>
        </is>
      </c>
    </row>
    <row r="25"/>
    <row r="26" ht="20" customHeight="1">
      <c r="A26" s="3" t="inlineStr">
        <is>
          <t>4. Debt Servicing &amp; Obligation Capacity (FOIR)</t>
        </is>
      </c>
      <c r="B26" s="4" t="n"/>
      <c r="C26" s="4" t="n"/>
      <c r="D26" s="4" t="n"/>
      <c r="E26" s="4" t="n"/>
      <c r="F26" s="4" t="n"/>
    </row>
    <row r="27" ht="28" customHeight="1">
      <c r="A27" s="5" t="inlineStr">
        <is>
          <t>Parameter</t>
        </is>
      </c>
      <c r="B27" s="5" t="inlineStr">
        <is>
          <t>Value</t>
        </is>
      </c>
      <c r="C27" s="5" t="inlineStr">
        <is>
          <t>Threshold</t>
        </is>
      </c>
      <c r="D27" s="5" t="inlineStr">
        <is>
          <t>Assessment</t>
        </is>
      </c>
      <c r="E27" s="5" t="inlineStr"/>
      <c r="F27" s="5" t="inlineStr"/>
    </row>
    <row r="28">
      <c r="A28" s="6" t="inlineStr">
        <is>
          <t>Fixed Obligation to Income (FOIR)</t>
        </is>
      </c>
      <c r="B28" s="7" t="inlineStr">
        <is>
          <t>35.9%</t>
        </is>
      </c>
      <c r="C28" s="7" t="inlineStr">
        <is>
          <t>&lt;= 50% Prime</t>
        </is>
      </c>
      <c r="D28" s="7" t="inlineStr">
        <is>
          <t>Share of income committed to debt servicing</t>
        </is>
      </c>
    </row>
    <row r="29">
      <c r="A29" s="6" t="inlineStr">
        <is>
          <t>Total Monthly EMI Commitment</t>
        </is>
      </c>
      <c r="B29" s="9" t="n">
        <v>30500</v>
      </c>
      <c r="C29" s="7" t="inlineStr">
        <is>
          <t>Monthly Outflow</t>
        </is>
      </c>
      <c r="D29" s="7" t="inlineStr">
        <is>
          <t>Aggregated recurring debt debits</t>
        </is>
      </c>
    </row>
    <row r="30">
      <c r="A30" s="6" t="inlineStr">
        <is>
          <t>Active Loan Facilities Detected</t>
        </is>
      </c>
      <c r="B30" s="9" t="n">
        <v>2</v>
      </c>
      <c r="C30" s="7" t="inlineStr">
        <is>
          <t>&lt;= 3 Acceptable</t>
        </is>
      </c>
      <c r="D30" s="7" t="inlineStr">
        <is>
          <t>Distinct identified loan/EMI streams</t>
        </is>
      </c>
    </row>
    <row r="31">
      <c r="A31" s="6" t="inlineStr">
        <is>
          <t>EMI Repayment Discipline</t>
        </is>
      </c>
      <c r="B31" s="7" t="inlineStr">
        <is>
          <t>98.0 / 100</t>
        </is>
      </c>
      <c r="C31" s="7" t="inlineStr">
        <is>
          <t>&gt;= 90 Punctual</t>
        </is>
      </c>
      <c r="D31" s="7" t="inlineStr">
        <is>
          <t>On-time mandate presentation track record</t>
        </is>
      </c>
    </row>
    <row r="32"/>
    <row r="33" ht="20" customHeight="1">
      <c r="A33" s="3" t="inlineStr">
        <is>
          <t>5. Behavioral Irregularities &amp; Default Signals</t>
        </is>
      </c>
      <c r="B33" s="4" t="n"/>
      <c r="C33" s="4" t="n"/>
      <c r="D33" s="4" t="n"/>
      <c r="E33" s="4" t="n"/>
      <c r="F33" s="4" t="n"/>
    </row>
    <row r="34" ht="28" customHeight="1">
      <c r="A34" s="5" t="inlineStr">
        <is>
          <t>Risk Indicator</t>
        </is>
      </c>
      <c r="B34" s="5" t="inlineStr">
        <is>
          <t>Findings Count</t>
        </is>
      </c>
      <c r="C34" s="5" t="inlineStr">
        <is>
          <t>Institutional Policy</t>
        </is>
      </c>
      <c r="D34" s="5" t="inlineStr">
        <is>
          <t>Risk Assessment</t>
        </is>
      </c>
      <c r="E34" s="5" t="inlineStr"/>
      <c r="F34" s="5" t="inlineStr"/>
    </row>
    <row r="35">
      <c r="A35" s="6" t="inlineStr">
        <is>
          <t>Inward Cheque / NACH Bounces</t>
        </is>
      </c>
      <c r="B35" s="7" t="n">
        <v>0</v>
      </c>
      <c r="C35" s="7" t="inlineStr">
        <is>
          <t>0 Tolerance (&gt;=2 is Default)</t>
        </is>
      </c>
      <c r="D35" s="7" t="inlineStr">
        <is>
          <t>Severe repayment failure signal</t>
        </is>
      </c>
    </row>
    <row r="36">
      <c r="A36" s="6" t="inlineStr">
        <is>
          <t>High-Severity Anomaly Flags</t>
        </is>
      </c>
      <c r="B36" s="7" t="n">
        <v>0</v>
      </c>
      <c r="C36" s="7" t="inlineStr">
        <is>
          <t>0 Preferred (&gt;=3 Rejection)</t>
        </is>
      </c>
      <c r="D36" s="7" t="inlineStr">
        <is>
          <t>Structuring, pass-throughs, or rapid drain</t>
        </is>
      </c>
    </row>
    <row r="37">
      <c r="A37" s="6" t="inlineStr">
        <is>
          <t>AML Risk Score</t>
        </is>
      </c>
      <c r="B37" s="7" t="inlineStr">
        <is>
          <t>5.0 (LOW)</t>
        </is>
      </c>
      <c r="C37" s="7" t="inlineStr">
        <is>
          <t>&lt; 25 Low Risk</t>
        </is>
      </c>
      <c r="D37" s="7" t="inlineStr">
        <is>
          <t>Anti-Money Laundering indicator</t>
        </is>
      </c>
    </row>
  </sheetData>
  <mergeCells count="19">
    <mergeCell ref="D13:F13"/>
    <mergeCell ref="A2:F2"/>
    <mergeCell ref="D28:F28"/>
    <mergeCell ref="D37:F37"/>
    <mergeCell ref="D12:F12"/>
    <mergeCell ref="D30:F30"/>
    <mergeCell ref="D15:F15"/>
    <mergeCell ref="D24:F24"/>
    <mergeCell ref="D14:F14"/>
    <mergeCell ref="D29:F29"/>
    <mergeCell ref="D23:F23"/>
    <mergeCell ref="D35:F35"/>
    <mergeCell ref="D20:F20"/>
    <mergeCell ref="D19:F19"/>
    <mergeCell ref="D31:F31"/>
    <mergeCell ref="A1:F1"/>
    <mergeCell ref="D22:F22"/>
    <mergeCell ref="D36:F36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</cols>
  <sheetData>
    <row r="1">
      <c r="A1" s="10" t="inlineStr">
        <is>
          <t>Bank Statement Analysis Report</t>
        </is>
      </c>
    </row>
    <row r="2">
      <c r="A2" s="11" t="inlineStr">
        <is>
          <t>Test Borrower Enterprises  ·  HDFC Bank</t>
        </is>
      </c>
    </row>
    <row r="3">
      <c r="A3" s="12" t="inlineStr">
        <is>
          <t>Generated 21 September 2026, 21:38</t>
        </is>
      </c>
    </row>
    <row r="4"/>
    <row r="5" ht="20" customHeight="1">
      <c r="A5" s="3" t="inlineStr">
        <is>
          <t>Headline</t>
        </is>
      </c>
      <c r="B5" s="4" t="n"/>
    </row>
    <row r="6">
      <c r="A6" s="6" t="inlineStr">
        <is>
          <t>Credit score</t>
        </is>
      </c>
      <c r="B6" s="7" t="n">
        <v>780</v>
      </c>
    </row>
    <row r="7">
      <c r="A7" s="6" t="inlineStr">
        <is>
          <t>Risk band</t>
        </is>
      </c>
      <c r="B7" s="7" t="inlineStr">
        <is>
          <t>Prime</t>
        </is>
      </c>
    </row>
    <row r="8">
      <c r="A8" s="6" t="inlineStr">
        <is>
          <t>Decision</t>
        </is>
      </c>
      <c r="B8" s="7" t="inlineStr">
        <is>
          <t>APPROVE_STANDARD</t>
        </is>
      </c>
    </row>
    <row r="9">
      <c r="A9" s="6" t="inlineStr">
        <is>
          <t>Verified against statement</t>
        </is>
      </c>
      <c r="B9" s="7" t="inlineStr">
        <is>
          <t>NOT RUN</t>
        </is>
      </c>
    </row>
    <row r="10"/>
    <row r="11" ht="20" customHeight="1">
      <c r="A11" s="3" t="inlineStr">
        <is>
          <t>Sheets in this workbook</t>
        </is>
      </c>
      <c r="B11" s="4" t="n"/>
    </row>
    <row r="12" ht="28" customHeight="1">
      <c r="A12" s="5" t="inlineStr">
        <is>
          <t>Sheet</t>
        </is>
      </c>
      <c r="B12" s="5" t="inlineStr">
        <is>
          <t>What it contains</t>
        </is>
      </c>
    </row>
    <row r="13">
      <c r="A13" s="7" t="inlineStr">
        <is>
          <t>Summary</t>
        </is>
      </c>
      <c r="B13" s="7" t="inlineStr">
        <is>
          <t>Account details and every metric month by month</t>
        </is>
      </c>
    </row>
    <row r="14">
      <c r="A14" s="7" t="inlineStr">
        <is>
          <t>Transactions</t>
        </is>
      </c>
      <c r="B14" s="7" t="inlineStr">
        <is>
          <t>Every transaction with its category and counterparty</t>
        </is>
      </c>
    </row>
    <row r="15">
      <c r="A15" s="7" t="inlineStr">
        <is>
          <t>Monthly Summary</t>
        </is>
      </c>
      <c r="B15" s="7" t="inlineStr">
        <is>
          <t>Amounts and counts per month</t>
        </is>
      </c>
    </row>
    <row r="16">
      <c r="A16" s="7" t="inlineStr">
        <is>
          <t>Categories</t>
        </is>
      </c>
      <c r="B16" s="7" t="inlineStr">
        <is>
          <t>Inflow and outflow broken down by category</t>
        </is>
      </c>
    </row>
    <row r="17">
      <c r="A17" s="7" t="inlineStr">
        <is>
          <t>Counterparty</t>
        </is>
      </c>
      <c r="B17" s="7" t="inlineStr">
        <is>
          <t>Who money came from and went to</t>
        </is>
      </c>
    </row>
    <row r="18">
      <c r="A18" s="7" t="inlineStr">
        <is>
          <t>Cash Flow</t>
        </is>
      </c>
      <c r="B18" s="7" t="inlineStr">
        <is>
          <t>Monthly inflow, outflow and net movement</t>
        </is>
      </c>
    </row>
    <row r="19">
      <c r="A19" s="7" t="inlineStr">
        <is>
          <t>Daily Balance</t>
        </is>
      </c>
      <c r="B19" s="7" t="inlineStr">
        <is>
          <t>Balance by day of month across the period</t>
        </is>
      </c>
    </row>
    <row r="20">
      <c r="A20" s="7" t="inlineStr">
        <is>
          <t>Recurring Payments</t>
        </is>
      </c>
      <c r="B20" s="7" t="inlineStr">
        <is>
          <t>Obligations detected by their repeating shape</t>
        </is>
      </c>
    </row>
    <row r="21">
      <c r="A21" s="7" t="inlineStr">
        <is>
          <t>Salary Txns</t>
        </is>
      </c>
      <c r="B21" s="7" t="inlineStr">
        <is>
          <t>Credits identified as salary</t>
        </is>
      </c>
    </row>
    <row r="22">
      <c r="A22" s="7" t="inlineStr">
        <is>
          <t>High Value Txns</t>
        </is>
      </c>
      <c r="B22" s="7" t="inlineStr">
        <is>
          <t>The largest debits and credits</t>
        </is>
      </c>
    </row>
    <row r="23">
      <c r="A23" s="7" t="inlineStr">
        <is>
          <t>Cash Txns / Cheque Txns / UPI Txns / Self Txns</t>
        </is>
      </c>
      <c r="B23" s="7" t="inlineStr">
        <is>
          <t>Focused views by rail</t>
        </is>
      </c>
    </row>
    <row r="24">
      <c r="A24" s="7" t="inlineStr">
        <is>
          <t>Loans &amp; EMI</t>
        </is>
      </c>
      <c r="B24" s="7" t="inlineStr">
        <is>
          <t>Loan and EMI transactions</t>
        </is>
      </c>
    </row>
    <row r="25">
      <c r="A25" s="7" t="inlineStr">
        <is>
          <t>Irregularities</t>
        </is>
      </c>
      <c r="B25" s="7" t="inlineStr">
        <is>
          <t>Fraud and AML flags raised</t>
        </is>
      </c>
    </row>
    <row r="26">
      <c r="A26" s="7" t="inlineStr">
        <is>
          <t>E · …</t>
        </is>
      </c>
      <c r="B26" s="7" t="inlineStr">
        <is>
          <t>One sheet per analysis engine, with every figure it produces</t>
        </is>
      </c>
    </row>
    <row r="27">
      <c r="A27" s="7" t="inlineStr">
        <is>
          <t>Credit Score</t>
        </is>
      </c>
      <c r="B27" s="7" t="inlineStr">
        <is>
          <t>The composite score with each deduction itemised</t>
        </is>
      </c>
    </row>
    <row r="28">
      <c r="A28" s="7" t="inlineStr">
        <is>
          <t>Verification</t>
        </is>
      </c>
      <c r="B28" s="7" t="inlineStr">
        <is>
          <t>Whether our figures match the ones printed on the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20" customHeight="1">
      <c r="A1" s="3" t="inlineStr">
        <is>
          <t>Account</t>
        </is>
      </c>
      <c r="B1" s="4" t="n"/>
      <c r="C1" s="4" t="n"/>
      <c r="D1" s="4" t="n"/>
    </row>
    <row r="2">
      <c r="A2" s="6" t="inlineStr">
        <is>
          <t>Account Holder</t>
        </is>
      </c>
      <c r="B2" s="7" t="inlineStr">
        <is>
          <t>Test Borrower Enterprises</t>
        </is>
      </c>
    </row>
    <row r="3">
      <c r="A3" s="6" t="inlineStr">
        <is>
          <t>Bank Name</t>
        </is>
      </c>
      <c r="B3" s="7" t="inlineStr">
        <is>
          <t>HDFC Bank</t>
        </is>
      </c>
    </row>
    <row r="4">
      <c r="A4" s="6" t="inlineStr">
        <is>
          <t>Account Number</t>
        </is>
      </c>
      <c r="B4" s="7" t="inlineStr">
        <is>
          <t>-</t>
        </is>
      </c>
    </row>
    <row r="5">
      <c r="A5" s="6" t="inlineStr">
        <is>
          <t>Statement From</t>
        </is>
      </c>
      <c r="B5" s="7" t="inlineStr">
        <is>
          <t>-</t>
        </is>
      </c>
    </row>
    <row r="6">
      <c r="A6" s="6" t="inlineStr">
        <is>
          <t>Statement To</t>
        </is>
      </c>
      <c r="B6" s="7" t="inlineStr">
        <is>
          <t>-</t>
        </is>
      </c>
    </row>
    <row r="7">
      <c r="A7" s="6" t="inlineStr">
        <is>
          <t>Transactions Analysed</t>
        </is>
      </c>
      <c r="B7" s="7" t="n">
        <v>4</v>
      </c>
    </row>
    <row r="8">
      <c r="A8" s="6" t="inlineStr">
        <is>
          <t>Template Used</t>
        </is>
      </c>
      <c r="B8" s="7" t="inlineStr">
        <is>
          <t>-</t>
        </is>
      </c>
    </row>
    <row r="9">
      <c r="A9" s="6" t="inlineStr">
        <is>
          <t>Report Generated</t>
        </is>
      </c>
      <c r="B9" s="7" t="inlineStr">
        <is>
          <t>21/Sep/2026 21:38</t>
        </is>
      </c>
    </row>
    <row r="10"/>
    <row r="11" ht="20" customHeight="1">
      <c r="A11" s="3" t="inlineStr">
        <is>
          <t>Monthwise details</t>
        </is>
      </c>
      <c r="B11" s="4" t="n"/>
    </row>
    <row r="12" ht="28" customHeight="1">
      <c r="A12" s="5" t="inlineStr">
        <is>
          <t>Description</t>
        </is>
      </c>
      <c r="B12" s="5" t="inlineStr">
        <is>
          <t>Total</t>
        </is>
      </c>
    </row>
    <row r="13">
      <c r="A13" s="6" t="inlineStr">
        <is>
          <t>Opening Balance</t>
        </is>
      </c>
      <c r="B13" s="13">
        <f>B13</f>
        <v/>
      </c>
    </row>
    <row r="14">
      <c r="A14" s="6" t="inlineStr">
        <is>
          <t>Closing Balance</t>
        </is>
      </c>
      <c r="B14" s="13">
        <f>A14</f>
        <v/>
      </c>
    </row>
    <row r="15">
      <c r="A15" s="6" t="inlineStr">
        <is>
          <t>Debit Txns</t>
        </is>
      </c>
      <c r="B15" s="13">
        <f>SUM(B15:A15)</f>
        <v/>
      </c>
    </row>
    <row r="16">
      <c r="A16" s="6" t="inlineStr">
        <is>
          <t>Credit Txns</t>
        </is>
      </c>
      <c r="B16" s="13">
        <f>SUM(B16:A16)</f>
        <v/>
      </c>
    </row>
    <row r="17">
      <c r="A17" s="6" t="inlineStr">
        <is>
          <t>Debit Txns Count</t>
        </is>
      </c>
      <c r="B17" s="14">
        <f>SUM(B17:A17)</f>
        <v/>
      </c>
    </row>
    <row r="18">
      <c r="A18" s="6" t="inlineStr">
        <is>
          <t>Credit Txns Count</t>
        </is>
      </c>
      <c r="B18" s="14">
        <f>SUM(B18:A18)</f>
        <v/>
      </c>
    </row>
    <row r="19">
      <c r="A19" s="6" t="inlineStr">
        <is>
          <t>Net Cash Flow</t>
        </is>
      </c>
      <c r="B19" s="13">
        <f>SUM(B19:A19)</f>
        <v/>
      </c>
    </row>
    <row r="20">
      <c r="A20" s="6" t="inlineStr">
        <is>
          <t>Min EOD Balance</t>
        </is>
      </c>
      <c r="B20" s="13">
        <f>MIN(B20:A20)</f>
        <v/>
      </c>
    </row>
    <row r="21">
      <c r="A21" s="6" t="inlineStr">
        <is>
          <t>Max EOD Balance</t>
        </is>
      </c>
      <c r="B21" s="13">
        <f>MAX(B21:A21)</f>
        <v/>
      </c>
    </row>
    <row r="22">
      <c r="A22" s="6" t="inlineStr">
        <is>
          <t>Average EOD Balance</t>
        </is>
      </c>
      <c r="B22" s="13">
        <f>IFERROR(AVERAGE(B22:A22),0)</f>
        <v/>
      </c>
    </row>
    <row r="23">
      <c r="A23" s="6" t="inlineStr">
        <is>
          <t>Salary Income</t>
        </is>
      </c>
      <c r="B23" s="13">
        <f>SUM(B23:A23)</f>
        <v/>
      </c>
    </row>
    <row r="24">
      <c r="A24" s="6" t="inlineStr">
        <is>
          <t>Fixed Obligations (Loan / EMI)</t>
        </is>
      </c>
      <c r="B24" s="13">
        <f>SUM(B24:A24)</f>
        <v/>
      </c>
    </row>
    <row r="25">
      <c r="A25" s="6" t="inlineStr">
        <is>
          <t>Savings &amp; Investments</t>
        </is>
      </c>
      <c r="B25" s="13">
        <f>SUM(B25:A25)</f>
        <v/>
      </c>
    </row>
    <row r="26">
      <c r="A26" s="6" t="inlineStr">
        <is>
          <t>Cash Deposit</t>
        </is>
      </c>
      <c r="B26" s="13">
        <f>SUM(B26:A26)</f>
        <v/>
      </c>
    </row>
    <row r="27">
      <c r="A27" s="6" t="inlineStr">
        <is>
          <t>Cash Withdrawal</t>
        </is>
      </c>
      <c r="B27" s="13">
        <f>SUM(B27:A27)</f>
        <v/>
      </c>
    </row>
    <row r="28">
      <c r="A28" s="6" t="inlineStr">
        <is>
          <t>Cash Deposits Count</t>
        </is>
      </c>
      <c r="B28" s="14">
        <f>SUM(B28:A28)</f>
        <v/>
      </c>
    </row>
    <row r="29">
      <c r="A29" s="6" t="inlineStr">
        <is>
          <t>Cash Withdrawals Count</t>
        </is>
      </c>
      <c r="B29" s="14">
        <f>SUM(B29:A29)</f>
        <v/>
      </c>
    </row>
    <row r="30">
      <c r="A30" s="6" t="inlineStr">
        <is>
          <t>Cheque Deposits</t>
        </is>
      </c>
      <c r="B30" s="13">
        <f>SUM(B30:A30)</f>
        <v/>
      </c>
    </row>
    <row r="31">
      <c r="A31" s="6" t="inlineStr">
        <is>
          <t>Cheque Issues</t>
        </is>
      </c>
      <c r="B31" s="13">
        <f>SUM(B31:A31)</f>
        <v/>
      </c>
    </row>
    <row r="32">
      <c r="A32" s="6" t="inlineStr">
        <is>
          <t>Self Transfer Count</t>
        </is>
      </c>
      <c r="B32" s="14">
        <f>SUM(B32:A32)</f>
        <v/>
      </c>
    </row>
    <row r="33">
      <c r="A33" s="6" t="inlineStr">
        <is>
          <t>Interest Received</t>
        </is>
      </c>
      <c r="B33" s="13">
        <f>SUM(B33:A33)</f>
        <v/>
      </c>
    </row>
    <row r="34">
      <c r="A34" s="6" t="inlineStr">
        <is>
          <t>Interest Paid</t>
        </is>
      </c>
      <c r="B34" s="13">
        <f>SUM(B34:A34)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52" customWidth="1" min="4" max="4"/>
    <col width="14" customWidth="1" min="5" max="5"/>
    <col width="10" customWidth="1" min="6" max="6"/>
    <col width="27" customWidth="1" min="7" max="7"/>
    <col width="13" customWidth="1" min="8" max="8"/>
    <col width="10" customWidth="1" min="9" max="9"/>
    <col width="13" customWidth="1" min="10" max="10"/>
    <col width="13" customWidth="1" min="11" max="11"/>
    <col width="12" customWidth="1" min="12" max="12"/>
    <col width="15" customWidth="1" min="13" max="13"/>
    <col width="12" customWidth="1" min="14" max="14"/>
  </cols>
  <sheetData>
    <row r="1" ht="28" customHeight="1">
      <c r="A1" s="5" t="inlineStr">
        <is>
          <t>Bank name</t>
        </is>
      </c>
      <c r="B1" s="5" t="inlineStr">
        <is>
          <t>Txn date</t>
        </is>
      </c>
      <c r="C1" s="5" t="inlineStr">
        <is>
          <t>Month</t>
        </is>
      </c>
      <c r="D1" s="5" t="inlineStr">
        <is>
          <t>Particulars</t>
        </is>
      </c>
      <c r="E1" s="5" t="inlineStr">
        <is>
          <t>Counterparty</t>
        </is>
      </c>
      <c r="F1" s="5" t="inlineStr">
        <is>
          <t>Category</t>
        </is>
      </c>
      <c r="G1" s="5" t="inlineStr">
        <is>
          <t>Subcategory</t>
        </is>
      </c>
      <c r="H1" s="5" t="inlineStr">
        <is>
          <t>Needs/Wants</t>
        </is>
      </c>
      <c r="I1" s="5" t="inlineStr">
        <is>
          <t>Rail</t>
        </is>
      </c>
      <c r="J1" s="5" t="inlineStr">
        <is>
          <t>Debit(₹)</t>
        </is>
      </c>
      <c r="K1" s="5" t="inlineStr">
        <is>
          <t>Credit(₹)</t>
        </is>
      </c>
      <c r="L1" s="5" t="inlineStr">
        <is>
          <t>Balance(₹)</t>
        </is>
      </c>
      <c r="M1" s="5" t="inlineStr">
        <is>
          <t>Classified by</t>
        </is>
      </c>
      <c r="N1" s="5" t="inlineStr">
        <is>
          <t>Confidence</t>
        </is>
      </c>
    </row>
    <row r="2">
      <c r="A2" s="7" t="inlineStr">
        <is>
          <t>HDFC Bank</t>
        </is>
      </c>
      <c r="B2" s="7" t="n"/>
      <c r="C2" s="7" t="inlineStr">
        <is>
          <t>-</t>
        </is>
      </c>
      <c r="D2" s="7" t="n"/>
      <c r="E2" s="7" t="inlineStr">
        <is>
          <t>-</t>
        </is>
      </c>
      <c r="F2" s="7" t="inlineStr">
        <is>
          <t>Income</t>
        </is>
      </c>
      <c r="G2" s="7" t="inlineStr">
        <is>
          <t>Salary</t>
        </is>
      </c>
      <c r="H2" s="7" t="inlineStr">
        <is>
          <t>-</t>
        </is>
      </c>
      <c r="I2" s="7" t="inlineStr">
        <is>
          <t>-</t>
        </is>
      </c>
      <c r="J2" s="9" t="n">
        <v>0</v>
      </c>
      <c r="K2" s="9" t="n">
        <v>0</v>
      </c>
      <c r="L2" s="9" t="n">
        <v>0</v>
      </c>
      <c r="M2" s="7" t="inlineStr">
        <is>
          <t>-</t>
        </is>
      </c>
      <c r="N2" s="15" t="n">
        <v>0</v>
      </c>
    </row>
    <row r="3">
      <c r="A3" s="7" t="inlineStr">
        <is>
          <t>HDFC Bank</t>
        </is>
      </c>
      <c r="B3" s="7" t="n"/>
      <c r="C3" s="7" t="inlineStr">
        <is>
          <t>-</t>
        </is>
      </c>
      <c r="D3" s="7" t="n"/>
      <c r="E3" s="7" t="inlineStr">
        <is>
          <t>-</t>
        </is>
      </c>
      <c r="F3" s="7" t="inlineStr">
        <is>
          <t>Expense</t>
        </is>
      </c>
      <c r="G3" s="7" t="inlineStr">
        <is>
          <t>Credit Card Payment</t>
        </is>
      </c>
      <c r="H3" s="7" t="inlineStr">
        <is>
          <t>-</t>
        </is>
      </c>
      <c r="I3" s="7" t="inlineStr">
        <is>
          <t>-</t>
        </is>
      </c>
      <c r="J3" s="9" t="n">
        <v>0</v>
      </c>
      <c r="K3" s="9" t="n">
        <v>0</v>
      </c>
      <c r="L3" s="9" t="n">
        <v>0</v>
      </c>
      <c r="M3" s="7" t="inlineStr">
        <is>
          <t>-</t>
        </is>
      </c>
      <c r="N3" s="15" t="n">
        <v>0</v>
      </c>
    </row>
    <row r="4">
      <c r="A4" s="7" t="inlineStr">
        <is>
          <t>HDFC Bank</t>
        </is>
      </c>
      <c r="B4" s="7" t="n"/>
      <c r="C4" s="7" t="inlineStr">
        <is>
          <t>-</t>
        </is>
      </c>
      <c r="D4" s="7" t="n"/>
      <c r="E4" s="7" t="inlineStr">
        <is>
          <t>-</t>
        </is>
      </c>
      <c r="F4" s="7" t="inlineStr">
        <is>
          <t>Expense</t>
        </is>
      </c>
      <c r="G4" s="7" t="inlineStr">
        <is>
          <t>Personal Loan EMI</t>
        </is>
      </c>
      <c r="H4" s="7" t="inlineStr">
        <is>
          <t>-</t>
        </is>
      </c>
      <c r="I4" s="7" t="inlineStr">
        <is>
          <t>-</t>
        </is>
      </c>
      <c r="J4" s="9" t="n">
        <v>0</v>
      </c>
      <c r="K4" s="9" t="n">
        <v>0</v>
      </c>
      <c r="L4" s="9" t="n">
        <v>0</v>
      </c>
      <c r="M4" s="7" t="inlineStr">
        <is>
          <t>-</t>
        </is>
      </c>
      <c r="N4" s="15" t="n">
        <v>0</v>
      </c>
    </row>
    <row r="5">
      <c r="A5" s="7" t="inlineStr">
        <is>
          <t>HDFC Bank</t>
        </is>
      </c>
      <c r="B5" s="7" t="n"/>
      <c r="C5" s="7" t="inlineStr">
        <is>
          <t>-</t>
        </is>
      </c>
      <c r="D5" s="7" t="n"/>
      <c r="E5" s="7" t="inlineStr">
        <is>
          <t>-</t>
        </is>
      </c>
      <c r="F5" s="7" t="inlineStr">
        <is>
          <t>Expense</t>
        </is>
      </c>
      <c r="G5" s="7" t="inlineStr">
        <is>
          <t>Food Delivery &amp; Groceries</t>
        </is>
      </c>
      <c r="H5" s="7" t="inlineStr">
        <is>
          <t>-</t>
        </is>
      </c>
      <c r="I5" s="7" t="inlineStr">
        <is>
          <t>-</t>
        </is>
      </c>
      <c r="J5" s="9" t="n">
        <v>0</v>
      </c>
      <c r="K5" s="9" t="n">
        <v>0</v>
      </c>
      <c r="L5" s="9" t="n">
        <v>0</v>
      </c>
      <c r="M5" s="7" t="inlineStr">
        <is>
          <t>-</t>
        </is>
      </c>
      <c r="N5" s="15" t="n">
        <v>0</v>
      </c>
    </row>
    <row r="6">
      <c r="A6" s="6" t="inlineStr">
        <is>
          <t>Total</t>
        </is>
      </c>
      <c r="J6" s="13">
        <f>SUM(J2:J5)</f>
        <v/>
      </c>
      <c r="K6" s="13">
        <f>SUM(K2:K5)</f>
        <v/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9" customWidth="1" min="5" max="5"/>
    <col width="11" customWidth="1" min="6" max="6"/>
  </cols>
  <sheetData>
    <row r="1" ht="20" customHeight="1">
      <c r="A1" s="3" t="inlineStr">
        <is>
          <t>Inflow</t>
        </is>
      </c>
      <c r="B1" s="4" t="n"/>
      <c r="C1" s="4" t="n"/>
      <c r="D1" s="4" t="n"/>
      <c r="E1" s="4" t="n"/>
      <c r="F1" s="4" t="n"/>
    </row>
    <row r="2" ht="28" customHeight="1">
      <c r="A2" s="5" t="inlineStr">
        <is>
          <t>Category</t>
        </is>
      </c>
      <c r="B2" s="5" t="inlineStr">
        <is>
          <t>Subcategory</t>
        </is>
      </c>
      <c r="C2" s="5" t="inlineStr">
        <is>
          <t>Txn amount(₹)</t>
        </is>
      </c>
      <c r="D2" s="5" t="inlineStr">
        <is>
          <t>% of total</t>
        </is>
      </c>
      <c r="E2" s="5" t="inlineStr">
        <is>
          <t>Avg txn amount(₹)</t>
        </is>
      </c>
      <c r="F2" s="5" t="inlineStr">
        <is>
          <t>Txn count</t>
        </is>
      </c>
    </row>
    <row r="3"/>
    <row r="4" ht="20" customHeight="1">
      <c r="A4" s="3" t="inlineStr">
        <is>
          <t>Outflow</t>
        </is>
      </c>
      <c r="B4" s="4" t="n"/>
      <c r="C4" s="4" t="n"/>
      <c r="D4" s="4" t="n"/>
      <c r="E4" s="4" t="n"/>
      <c r="F4" s="4" t="n"/>
    </row>
    <row r="5" ht="28" customHeight="1">
      <c r="A5" s="5" t="inlineStr">
        <is>
          <t>Category</t>
        </is>
      </c>
      <c r="B5" s="5" t="inlineStr">
        <is>
          <t>Subcategory</t>
        </is>
      </c>
      <c r="C5" s="5" t="inlineStr">
        <is>
          <t>Txn amount(₹)</t>
        </is>
      </c>
      <c r="D5" s="5" t="inlineStr">
        <is>
          <t>% of total</t>
        </is>
      </c>
      <c r="E5" s="5" t="inlineStr">
        <is>
          <t>Avg txn amount(₹)</t>
        </is>
      </c>
      <c r="F5" s="5" t="inlineStr">
        <is>
          <t>Txn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  <col width="14" customWidth="1" min="6" max="6"/>
    <col width="11" customWidth="1" min="7" max="7"/>
    <col width="11" customWidth="1" min="8" max="8"/>
    <col width="10" customWidth="1" min="9" max="9"/>
  </cols>
  <sheetData>
    <row r="1">
      <c r="A1" s="16" t="inlineStr">
        <is>
          <t>Credit txns</t>
        </is>
      </c>
      <c r="F1" s="16" t="inlineStr">
        <is>
          <t>Debit txns</t>
        </is>
      </c>
    </row>
    <row r="2" ht="28" customHeight="1">
      <c r="A2" s="5" t="inlineStr">
        <is>
          <t>Counterparty</t>
        </is>
      </c>
      <c r="B2" s="5" t="inlineStr">
        <is>
          <t>Amount(₹)</t>
        </is>
      </c>
      <c r="C2" s="5" t="inlineStr">
        <is>
          <t>Txn count</t>
        </is>
      </c>
      <c r="D2" s="5" t="inlineStr">
        <is>
          <t>Amount %</t>
        </is>
      </c>
      <c r="F2" s="5" t="inlineStr">
        <is>
          <t>Counterparty</t>
        </is>
      </c>
      <c r="G2" s="5" t="inlineStr">
        <is>
          <t>Amount(₹)</t>
        </is>
      </c>
      <c r="H2" s="5" t="inlineStr">
        <is>
          <t>Txn count</t>
        </is>
      </c>
      <c r="I2" s="5" t="inlineStr">
        <is>
          <t>Amount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8" customWidth="1" min="4" max="4"/>
    <col width="24" customWidth="1" min="5" max="5"/>
    <col width="18" customWidth="1" min="6" max="6"/>
    <col width="19" customWidth="1" min="7" max="7"/>
  </cols>
  <sheetData>
    <row r="1" ht="28" customHeight="1">
      <c r="A1" s="5" t="inlineStr">
        <is>
          <t>Month</t>
        </is>
      </c>
      <c r="B1" s="5" t="inlineStr">
        <is>
          <t>Inflow(₹)</t>
        </is>
      </c>
      <c r="C1" s="5" t="inlineStr">
        <is>
          <t>Outflow(₹)</t>
        </is>
      </c>
      <c r="D1" s="5" t="inlineStr">
        <is>
          <t>Net cash flow(₹)</t>
        </is>
      </c>
      <c r="E1" s="5" t="inlineStr">
        <is>
          <t>Monthly avg balance(₹)</t>
        </is>
      </c>
      <c r="F1" s="5" t="inlineStr">
        <is>
          <t>Inflow txn count</t>
        </is>
      </c>
      <c r="G1" s="5" t="inlineStr">
        <is>
          <t>Outflow txn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8" customHeight="1">
      <c r="A1" s="5" t="inlineStr">
        <is>
          <t>Day of month</t>
        </is>
      </c>
      <c r="B1" s="5" t="inlineStr">
        <is>
          <t>Average(₹)</t>
        </is>
      </c>
    </row>
    <row r="2">
      <c r="A2" s="17" t="n">
        <v>1</v>
      </c>
      <c r="B2" s="13">
        <f>IFERROR(AVERAGE(C2:B2),0)</f>
        <v/>
      </c>
    </row>
    <row r="3">
      <c r="A3" s="17" t="n">
        <v>2</v>
      </c>
      <c r="B3" s="13">
        <f>IFERROR(AVERAGE(C3:B3),0)</f>
        <v/>
      </c>
    </row>
    <row r="4">
      <c r="A4" s="17" t="n">
        <v>3</v>
      </c>
      <c r="B4" s="13">
        <f>IFERROR(AVERAGE(C4:B4),0)</f>
        <v/>
      </c>
    </row>
    <row r="5">
      <c r="A5" s="17" t="n">
        <v>4</v>
      </c>
      <c r="B5" s="13">
        <f>IFERROR(AVERAGE(C5:B5),0)</f>
        <v/>
      </c>
    </row>
    <row r="6">
      <c r="A6" s="17" t="n">
        <v>5</v>
      </c>
      <c r="B6" s="13">
        <f>IFERROR(AVERAGE(C6:B6),0)</f>
        <v/>
      </c>
    </row>
    <row r="7">
      <c r="A7" s="17" t="n">
        <v>6</v>
      </c>
      <c r="B7" s="13">
        <f>IFERROR(AVERAGE(C7:B7),0)</f>
        <v/>
      </c>
    </row>
    <row r="8">
      <c r="A8" s="17" t="n">
        <v>7</v>
      </c>
      <c r="B8" s="13">
        <f>IFERROR(AVERAGE(C8:B8),0)</f>
        <v/>
      </c>
    </row>
    <row r="9">
      <c r="A9" s="17" t="n">
        <v>8</v>
      </c>
      <c r="B9" s="13">
        <f>IFERROR(AVERAGE(C9:B9),0)</f>
        <v/>
      </c>
    </row>
    <row r="10">
      <c r="A10" s="17" t="n">
        <v>9</v>
      </c>
      <c r="B10" s="13">
        <f>IFERROR(AVERAGE(C10:B10),0)</f>
        <v/>
      </c>
    </row>
    <row r="11">
      <c r="A11" s="17" t="n">
        <v>10</v>
      </c>
      <c r="B11" s="13">
        <f>IFERROR(AVERAGE(C11:B11),0)</f>
        <v/>
      </c>
    </row>
    <row r="12">
      <c r="A12" s="17" t="n">
        <v>11</v>
      </c>
      <c r="B12" s="13">
        <f>IFERROR(AVERAGE(C12:B12),0)</f>
        <v/>
      </c>
    </row>
    <row r="13">
      <c r="A13" s="17" t="n">
        <v>12</v>
      </c>
      <c r="B13" s="13">
        <f>IFERROR(AVERAGE(C13:B13),0)</f>
        <v/>
      </c>
    </row>
    <row r="14">
      <c r="A14" s="17" t="n">
        <v>13</v>
      </c>
      <c r="B14" s="13">
        <f>IFERROR(AVERAGE(C14:B14),0)</f>
        <v/>
      </c>
    </row>
    <row r="15">
      <c r="A15" s="17" t="n">
        <v>14</v>
      </c>
      <c r="B15" s="13">
        <f>IFERROR(AVERAGE(C15:B15),0)</f>
        <v/>
      </c>
    </row>
    <row r="16">
      <c r="A16" s="17" t="n">
        <v>15</v>
      </c>
      <c r="B16" s="13">
        <f>IFERROR(AVERAGE(C16:B16),0)</f>
        <v/>
      </c>
    </row>
    <row r="17">
      <c r="A17" s="17" t="n">
        <v>16</v>
      </c>
      <c r="B17" s="13">
        <f>IFERROR(AVERAGE(C17:B17),0)</f>
        <v/>
      </c>
    </row>
    <row r="18">
      <c r="A18" s="17" t="n">
        <v>17</v>
      </c>
      <c r="B18" s="13">
        <f>IFERROR(AVERAGE(C18:B18),0)</f>
        <v/>
      </c>
    </row>
    <row r="19">
      <c r="A19" s="17" t="n">
        <v>18</v>
      </c>
      <c r="B19" s="13">
        <f>IFERROR(AVERAGE(C19:B19),0)</f>
        <v/>
      </c>
    </row>
    <row r="20">
      <c r="A20" s="17" t="n">
        <v>19</v>
      </c>
      <c r="B20" s="13">
        <f>IFERROR(AVERAGE(C20:B20),0)</f>
        <v/>
      </c>
    </row>
    <row r="21">
      <c r="A21" s="17" t="n">
        <v>20</v>
      </c>
      <c r="B21" s="13">
        <f>IFERROR(AVERAGE(C21:B21),0)</f>
        <v/>
      </c>
    </row>
    <row r="22">
      <c r="A22" s="17" t="n">
        <v>21</v>
      </c>
      <c r="B22" s="13">
        <f>IFERROR(AVERAGE(C22:B22),0)</f>
        <v/>
      </c>
    </row>
    <row r="23">
      <c r="A23" s="17" t="n">
        <v>22</v>
      </c>
      <c r="B23" s="13">
        <f>IFERROR(AVERAGE(C23:B23),0)</f>
        <v/>
      </c>
    </row>
    <row r="24">
      <c r="A24" s="17" t="n">
        <v>23</v>
      </c>
      <c r="B24" s="13">
        <f>IFERROR(AVERAGE(C24:B24),0)</f>
        <v/>
      </c>
    </row>
    <row r="25">
      <c r="A25" s="17" t="n">
        <v>24</v>
      </c>
      <c r="B25" s="13">
        <f>IFERROR(AVERAGE(C25:B25),0)</f>
        <v/>
      </c>
    </row>
    <row r="26">
      <c r="A26" s="17" t="n">
        <v>25</v>
      </c>
      <c r="B26" s="13">
        <f>IFERROR(AVERAGE(C26:B26),0)</f>
        <v/>
      </c>
    </row>
    <row r="27">
      <c r="A27" s="17" t="n">
        <v>26</v>
      </c>
      <c r="B27" s="13">
        <f>IFERROR(AVERAGE(C27:B27),0)</f>
        <v/>
      </c>
    </row>
    <row r="28">
      <c r="A28" s="17" t="n">
        <v>27</v>
      </c>
      <c r="B28" s="13">
        <f>IFERROR(AVERAGE(C28:B28),0)</f>
        <v/>
      </c>
    </row>
    <row r="29">
      <c r="A29" s="17" t="n">
        <v>28</v>
      </c>
      <c r="B29" s="13">
        <f>IFERROR(AVERAGE(C29:B29),0)</f>
        <v/>
      </c>
    </row>
    <row r="30">
      <c r="A30" s="17" t="n">
        <v>29</v>
      </c>
      <c r="B30" s="13">
        <f>IFERROR(AVERAGE(C30:B30),0)</f>
        <v/>
      </c>
    </row>
    <row r="31">
      <c r="A31" s="17" t="n">
        <v>30</v>
      </c>
      <c r="B31" s="13">
        <f>IFERROR(AVERAGE(C31:B31),0)</f>
        <v/>
      </c>
    </row>
    <row r="32">
      <c r="A32" s="17" t="n">
        <v>31</v>
      </c>
      <c r="B32" s="13">
        <f>IFERROR(AVERAGE(C32:B32),0)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1" customWidth="1" min="3" max="3"/>
    <col width="11" customWidth="1" min="4" max="4"/>
    <col width="12" customWidth="1" min="5" max="5"/>
    <col width="10" customWidth="1" min="6" max="6"/>
    <col width="10" customWidth="1" min="7" max="7"/>
    <col width="18" customWidth="1" min="8" max="8"/>
  </cols>
  <sheetData>
    <row r="1" ht="28" customHeight="1">
      <c r="A1" s="5" t="inlineStr">
        <is>
          <t>Counterparty</t>
        </is>
      </c>
      <c r="B1" s="5" t="inlineStr">
        <is>
          <t>Particulars</t>
        </is>
      </c>
      <c r="C1" s="5" t="inlineStr">
        <is>
          <t>Amount(₹)</t>
        </is>
      </c>
      <c r="D1" s="5" t="inlineStr">
        <is>
          <t>Txn count</t>
        </is>
      </c>
      <c r="E1" s="5" t="inlineStr">
        <is>
          <t>Start date</t>
        </is>
      </c>
      <c r="F1" s="5" t="inlineStr">
        <is>
          <t>End date</t>
        </is>
      </c>
      <c r="G1" s="5" t="inlineStr">
        <is>
          <t>Interval</t>
        </is>
      </c>
      <c r="H1" s="5" t="inlineStr">
        <is>
          <t>Observed pattern</t>
        </is>
      </c>
    </row>
    <row r="2">
      <c r="A2" s="18" t="inlineStr">
        <is>
          <t>No recurring obligations were detected.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13" customWidth="1" min="4" max="4"/>
    <col width="13" customWidth="1" min="5" max="5"/>
    <col width="13" customWidth="1" min="6" max="6"/>
    <col width="12" customWidth="1" min="7" max="7"/>
  </cols>
  <sheetData>
    <row r="1" ht="28" customHeight="1">
      <c r="A1" s="5" t="inlineStr">
        <is>
          <t>Txn date</t>
        </is>
      </c>
      <c r="B1" s="5" t="inlineStr">
        <is>
          <t>Particulars</t>
        </is>
      </c>
      <c r="C1" s="5" t="inlineStr">
        <is>
          <t>Counterparty</t>
        </is>
      </c>
      <c r="D1" s="5" t="inlineStr">
        <is>
          <t>Subcategory</t>
        </is>
      </c>
      <c r="E1" s="5" t="inlineStr">
        <is>
          <t>Debit(₹)</t>
        </is>
      </c>
      <c r="F1" s="5" t="inlineStr">
        <is>
          <t>Credit(₹)</t>
        </is>
      </c>
      <c r="G1" s="5" t="inlineStr">
        <is>
          <t>Balance(₹)</t>
        </is>
      </c>
    </row>
    <row r="2">
      <c r="A2" s="7" t="n"/>
      <c r="B2" s="7" t="n"/>
      <c r="C2" s="7" t="inlineStr">
        <is>
          <t>-</t>
        </is>
      </c>
      <c r="D2" s="7" t="inlineStr">
        <is>
          <t>Salary</t>
        </is>
      </c>
      <c r="E2" s="9" t="n">
        <v>0</v>
      </c>
      <c r="F2" s="9" t="n">
        <v>0</v>
      </c>
      <c r="G2" s="9" t="n">
        <v>0</v>
      </c>
    </row>
    <row r="3">
      <c r="A3" s="6" t="inlineStr">
        <is>
          <t>Total</t>
        </is>
      </c>
      <c r="E3" s="13">
        <f>SUM(E2:E2)</f>
        <v/>
      </c>
      <c r="F3" s="13">
        <f>SUM(F2:F2)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14" customWidth="1" min="3" max="3"/>
    <col width="13" customWidth="1" min="4" max="4"/>
    <col width="10" customWidth="1" min="5" max="5"/>
    <col width="11" customWidth="1" min="6" max="6"/>
    <col width="12" customWidth="1" min="7" max="7"/>
  </cols>
  <sheetData>
    <row r="1" ht="28" customHeight="1">
      <c r="A1" s="5" t="inlineStr">
        <is>
          <t>Txn date</t>
        </is>
      </c>
      <c r="B1" s="5" t="inlineStr">
        <is>
          <t>Particulars</t>
        </is>
      </c>
      <c r="C1" s="5" t="inlineStr">
        <is>
          <t>Counterparty</t>
        </is>
      </c>
      <c r="D1" s="5" t="inlineStr">
        <is>
          <t>Subcategory</t>
        </is>
      </c>
      <c r="E1" s="5" t="inlineStr">
        <is>
          <t>Debit(₹)</t>
        </is>
      </c>
      <c r="F1" s="5" t="inlineStr">
        <is>
          <t>Credit(₹)</t>
        </is>
      </c>
      <c r="G1" s="5" t="inlineStr">
        <is>
          <t>Balance(₹)</t>
        </is>
      </c>
    </row>
    <row r="2">
      <c r="A2" s="18" t="inlineStr">
        <is>
          <t>No transactions of this type were found.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14" customWidth="1" min="3" max="3"/>
    <col width="13" customWidth="1" min="4" max="4"/>
    <col width="10" customWidth="1" min="5" max="5"/>
    <col width="11" customWidth="1" min="6" max="6"/>
    <col width="12" customWidth="1" min="7" max="7"/>
  </cols>
  <sheetData>
    <row r="1" ht="28" customHeight="1">
      <c r="A1" s="5" t="inlineStr">
        <is>
          <t>Txn date</t>
        </is>
      </c>
      <c r="B1" s="5" t="inlineStr">
        <is>
          <t>Particulars</t>
        </is>
      </c>
      <c r="C1" s="5" t="inlineStr">
        <is>
          <t>Counterparty</t>
        </is>
      </c>
      <c r="D1" s="5" t="inlineStr">
        <is>
          <t>Subcategory</t>
        </is>
      </c>
      <c r="E1" s="5" t="inlineStr">
        <is>
          <t>Debit(₹)</t>
        </is>
      </c>
      <c r="F1" s="5" t="inlineStr">
        <is>
          <t>Credit(₹)</t>
        </is>
      </c>
      <c r="G1" s="5" t="inlineStr">
        <is>
          <t>Balance(₹)</t>
        </is>
      </c>
    </row>
    <row r="2">
      <c r="A2" s="18" t="inlineStr">
        <is>
          <t>No transactions of this type were found.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14" customWidth="1" min="3" max="3"/>
    <col width="13" customWidth="1" min="4" max="4"/>
    <col width="10" customWidth="1" min="5" max="5"/>
    <col width="11" customWidth="1" min="6" max="6"/>
    <col width="12" customWidth="1" min="7" max="7"/>
  </cols>
  <sheetData>
    <row r="1" ht="28" customHeight="1">
      <c r="A1" s="5" t="inlineStr">
        <is>
          <t>Txn date</t>
        </is>
      </c>
      <c r="B1" s="5" t="inlineStr">
        <is>
          <t>Particulars</t>
        </is>
      </c>
      <c r="C1" s="5" t="inlineStr">
        <is>
          <t>Counterparty</t>
        </is>
      </c>
      <c r="D1" s="5" t="inlineStr">
        <is>
          <t>Subcategory</t>
        </is>
      </c>
      <c r="E1" s="5" t="inlineStr">
        <is>
          <t>Debit(₹)</t>
        </is>
      </c>
      <c r="F1" s="5" t="inlineStr">
        <is>
          <t>Credit(₹)</t>
        </is>
      </c>
      <c r="G1" s="5" t="inlineStr">
        <is>
          <t>Balance(₹)</t>
        </is>
      </c>
    </row>
    <row r="2">
      <c r="A2" s="18" t="inlineStr">
        <is>
          <t>No transactions of this type were found.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13" customWidth="1" min="4" max="4"/>
    <col width="10" customWidth="1" min="5" max="5"/>
    <col width="11" customWidth="1" min="6" max="6"/>
    <col width="12" customWidth="1" min="7" max="7"/>
  </cols>
  <sheetData>
    <row r="1">
      <c r="A1" s="12" t="inlineStr">
        <is>
          <t>Transfers between the account holder's own accounts. Excluded from income and expenses, because counting them would double-count the same money.</t>
        </is>
      </c>
    </row>
    <row r="2"/>
    <row r="3" ht="28" customHeight="1">
      <c r="A3" s="5" t="inlineStr">
        <is>
          <t>Txn date</t>
        </is>
      </c>
      <c r="B3" s="5" t="inlineStr">
        <is>
          <t>Particulars</t>
        </is>
      </c>
      <c r="C3" s="5" t="inlineStr">
        <is>
          <t>Counterparty</t>
        </is>
      </c>
      <c r="D3" s="5" t="inlineStr">
        <is>
          <t>Subcategory</t>
        </is>
      </c>
      <c r="E3" s="5" t="inlineStr">
        <is>
          <t>Debit(₹)</t>
        </is>
      </c>
      <c r="F3" s="5" t="inlineStr">
        <is>
          <t>Credit(₹)</t>
        </is>
      </c>
      <c r="G3" s="5" t="inlineStr">
        <is>
          <t>Balance(₹)</t>
        </is>
      </c>
    </row>
    <row r="4">
      <c r="A4" s="18" t="inlineStr">
        <is>
          <t>No transactions of this type were found.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19" customWidth="1" min="4" max="4"/>
    <col width="13" customWidth="1" min="5" max="5"/>
    <col width="13" customWidth="1" min="6" max="6"/>
    <col width="12" customWidth="1" min="7" max="7"/>
  </cols>
  <sheetData>
    <row r="1" ht="28" customHeight="1">
      <c r="A1" s="5" t="inlineStr">
        <is>
          <t>Txn date</t>
        </is>
      </c>
      <c r="B1" s="5" t="inlineStr">
        <is>
          <t>Particulars</t>
        </is>
      </c>
      <c r="C1" s="5" t="inlineStr">
        <is>
          <t>Counterparty</t>
        </is>
      </c>
      <c r="D1" s="5" t="inlineStr">
        <is>
          <t>Subcategory</t>
        </is>
      </c>
      <c r="E1" s="5" t="inlineStr">
        <is>
          <t>Debit(₹)</t>
        </is>
      </c>
      <c r="F1" s="5" t="inlineStr">
        <is>
          <t>Credit(₹)</t>
        </is>
      </c>
      <c r="G1" s="5" t="inlineStr">
        <is>
          <t>Balance(₹)</t>
        </is>
      </c>
    </row>
    <row r="2">
      <c r="A2" s="7" t="n"/>
      <c r="B2" s="7" t="n"/>
      <c r="C2" s="7" t="inlineStr">
        <is>
          <t>-</t>
        </is>
      </c>
      <c r="D2" s="7" t="inlineStr">
        <is>
          <t>Personal Loan EMI</t>
        </is>
      </c>
      <c r="E2" s="9" t="n">
        <v>0</v>
      </c>
      <c r="F2" s="9" t="n">
        <v>0</v>
      </c>
      <c r="G2" s="9" t="n">
        <v>0</v>
      </c>
    </row>
    <row r="3">
      <c r="A3" s="6" t="inlineStr">
        <is>
          <t>Total</t>
        </is>
      </c>
      <c r="E3" s="13">
        <f>SUM(E2:E2)</f>
        <v/>
      </c>
      <c r="F3" s="13">
        <f>SUM(F2:F2)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4" customWidth="1" min="3" max="3"/>
    <col width="13" customWidth="1" min="4" max="4"/>
    <col width="10" customWidth="1" min="5" max="5"/>
    <col width="11" customWidth="1" min="6" max="6"/>
    <col width="12" customWidth="1" min="7" max="7"/>
  </cols>
  <sheetData>
    <row r="1">
      <c r="A1" s="12" t="inlineStr">
        <is>
          <t>The 20 largest transactions (threshold ₹0.00).</t>
        </is>
      </c>
    </row>
    <row r="2"/>
    <row r="3" ht="28" customHeight="1">
      <c r="A3" s="5" t="inlineStr">
        <is>
          <t>Txn date</t>
        </is>
      </c>
      <c r="B3" s="5" t="inlineStr">
        <is>
          <t>Particulars</t>
        </is>
      </c>
      <c r="C3" s="5" t="inlineStr">
        <is>
          <t>Counterparty</t>
        </is>
      </c>
      <c r="D3" s="5" t="inlineStr">
        <is>
          <t>Subcategory</t>
        </is>
      </c>
      <c r="E3" s="5" t="inlineStr">
        <is>
          <t>Debit(₹)</t>
        </is>
      </c>
      <c r="F3" s="5" t="inlineStr">
        <is>
          <t>Credit(₹)</t>
        </is>
      </c>
      <c r="G3" s="5" t="inlineStr">
        <is>
          <t>Balance(₹)</t>
        </is>
      </c>
    </row>
    <row r="4">
      <c r="A4" s="18" t="inlineStr">
        <is>
          <t>No transactions of this type were found.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80" customWidth="1" min="4" max="4"/>
  </cols>
  <sheetData>
    <row r="1" ht="20" customHeight="1">
      <c r="A1" s="3" t="inlineStr">
        <is>
          <t>Risk scores</t>
        </is>
      </c>
      <c r="B1" s="4" t="n"/>
      <c r="C1" s="4" t="n"/>
    </row>
    <row r="2">
      <c r="A2" s="6" t="inlineStr">
        <is>
          <t>Fraud score</t>
        </is>
      </c>
      <c r="B2" s="19" t="inlineStr">
        <is>
          <t>-</t>
        </is>
      </c>
    </row>
    <row r="3">
      <c r="A3" s="6" t="inlineStr">
        <is>
          <t>AML risk score</t>
        </is>
      </c>
      <c r="B3" s="19" t="n">
        <v>5</v>
      </c>
    </row>
    <row r="4">
      <c r="A4" s="6" t="inlineStr">
        <is>
          <t>AML risk band</t>
        </is>
      </c>
      <c r="B4" s="7" t="inlineStr">
        <is>
          <t>LOW</t>
        </is>
      </c>
    </row>
    <row r="5">
      <c r="A5" s="6" t="inlineStr">
        <is>
          <t>Irregularity penalty points</t>
        </is>
      </c>
      <c r="B5" s="17" t="inlineStr">
        <is>
          <t>-</t>
        </is>
      </c>
    </row>
    <row r="6">
      <c r="A6" s="6" t="inlineStr">
        <is>
          <t>Total flags raised</t>
        </is>
      </c>
      <c r="B6" s="17" t="inlineStr">
        <is>
          <t>-</t>
        </is>
      </c>
    </row>
    <row r="7"/>
    <row r="8" ht="20" customHeight="1">
      <c r="A8" s="3" t="inlineStr">
        <is>
          <t>Flags raised</t>
        </is>
      </c>
      <c r="B8" s="4" t="n"/>
      <c r="C8" s="4" t="n"/>
      <c r="D8" s="4" t="n"/>
    </row>
    <row r="9" ht="28" customHeight="1">
      <c r="A9" s="5" t="inlineStr">
        <is>
          <t>Rule</t>
        </is>
      </c>
      <c r="B9" s="5" t="inlineStr">
        <is>
          <t>Severity</t>
        </is>
      </c>
      <c r="C9" s="5" t="inlineStr">
        <is>
          <t>Confidence</t>
        </is>
      </c>
      <c r="D9" s="5" t="inlineStr">
        <is>
          <t>Explanation</t>
        </is>
      </c>
    </row>
    <row r="10">
      <c r="A10" s="18" t="inlineStr">
        <is>
          <t>No irregularities were detected.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Income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Expense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Balance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  <row r="3">
      <c r="A3" s="6" t="inlineStr">
        <is>
          <t>Average daily balance</t>
        </is>
      </c>
      <c r="B3" s="9" t="n">
        <v>65000</v>
      </c>
    </row>
    <row r="4">
      <c r="A4" s="6" t="inlineStr">
        <is>
          <t>Volatility band</t>
        </is>
      </c>
      <c r="B4" s="7" t="inlineStr">
        <is>
          <t>LOW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Cash Flow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  <row r="3">
      <c r="A3" s="6" t="inlineStr">
        <is>
          <t>Total inflow</t>
        </is>
      </c>
      <c r="B3" s="9" t="n">
        <v>85000</v>
      </c>
    </row>
    <row r="4">
      <c r="A4" s="6" t="inlineStr">
        <is>
          <t>Total outflow</t>
        </is>
      </c>
      <c r="B4" s="9" t="n">
        <v>31150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Savings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Investment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Debt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  <row r="3">
      <c r="A3" s="6" t="inlineStr">
        <is>
          <t>Foir</t>
        </is>
      </c>
      <c r="B3" s="9" t="n">
        <v>0.359</v>
      </c>
    </row>
    <row r="4">
      <c r="A4" s="6" t="inlineStr">
        <is>
          <t>Total monthly emi</t>
        </is>
      </c>
      <c r="B4" s="9" t="n">
        <v>30500</v>
      </c>
    </row>
    <row r="5">
      <c r="A5" s="6" t="inlineStr">
        <is>
          <t>Active loans count</t>
        </is>
      </c>
      <c r="B5" s="17" t="n">
        <v>2</v>
      </c>
    </row>
    <row r="6">
      <c r="A6" s="6" t="inlineStr">
        <is>
          <t>Emi discipline score</t>
        </is>
      </c>
      <c r="B6" s="15" t="n">
        <v>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Behaviour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 ht="20" customHeight="1">
      <c r="A1" s="3" t="inlineStr">
        <is>
          <t>Fraud &amp; AML — headline figures</t>
        </is>
      </c>
      <c r="B1" s="4" t="n"/>
    </row>
    <row r="2" ht="28" customHeight="1">
      <c r="A2" s="5" t="inlineStr">
        <is>
          <t>Metric</t>
        </is>
      </c>
      <c r="B2" s="5" t="inlineStr">
        <is>
          <t>Value</t>
        </is>
      </c>
    </row>
    <row r="3">
      <c r="A3" s="6" t="inlineStr">
        <is>
          <t>Aml risk score</t>
        </is>
      </c>
      <c r="B3" s="15" t="n">
        <v>5</v>
      </c>
    </row>
    <row r="4">
      <c r="A4" s="6" t="inlineStr">
        <is>
          <t>Aml risk band</t>
        </is>
      </c>
      <c r="B4" s="7" t="inlineStr">
        <is>
          <t>LOW</t>
        </is>
      </c>
    </row>
    <row r="5">
      <c r="A5" s="6" t="inlineStr">
        <is>
          <t>Inward bounce count</t>
        </is>
      </c>
      <c r="B5" s="17" t="n">
        <v>0</v>
      </c>
    </row>
    <row r="6">
      <c r="A6" s="6" t="inlineStr">
        <is>
          <t>Circular turnover amount</t>
        </is>
      </c>
      <c r="B6" s="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30" customWidth="1" min="3" max="3"/>
    <col width="15" customWidth="1" min="4" max="4"/>
    <col width="36" customWidth="1" min="5" max="5"/>
  </cols>
  <sheetData>
    <row r="1" ht="20" customHeight="1">
      <c r="A1" s="3" t="inlineStr">
        <is>
          <t>Underwriting outcome</t>
        </is>
      </c>
      <c r="B1" s="4" t="n"/>
    </row>
    <row r="2">
      <c r="A2" s="6" t="inlineStr">
        <is>
          <t>Credit score (out of 1000)</t>
        </is>
      </c>
      <c r="B2" s="17" t="n">
        <v>780</v>
      </c>
    </row>
    <row r="3">
      <c r="A3" s="6" t="inlineStr">
        <is>
          <t>Risk band</t>
        </is>
      </c>
      <c r="B3" s="7" t="inlineStr">
        <is>
          <t>Prime</t>
        </is>
      </c>
    </row>
    <row r="4">
      <c r="A4" s="6" t="inlineStr">
        <is>
          <t>Decision</t>
        </is>
      </c>
      <c r="B4" s="7" t="inlineStr">
        <is>
          <t>APPROVE_STANDARD</t>
        </is>
      </c>
    </row>
    <row r="5">
      <c r="A5" s="6" t="inlineStr">
        <is>
          <t>Trajectory</t>
        </is>
      </c>
      <c r="B5" s="7" t="inlineStr">
        <is>
          <t>-</t>
        </is>
      </c>
    </row>
    <row r="6">
      <c r="A6" s="6" t="inlineStr">
        <is>
          <t>Data sufficiency</t>
        </is>
      </c>
      <c r="B6" s="7" t="inlineStr">
        <is>
          <t>-</t>
        </is>
      </c>
    </row>
    <row r="7">
      <c r="A7" s="6" t="inlineStr">
        <is>
          <t>Coherence note</t>
        </is>
      </c>
      <c r="B7" s="7" t="inlineStr">
        <is>
          <t>Borrower demonstrates exemplary repayment discipline.</t>
        </is>
      </c>
    </row>
    <row r="8"/>
    <row r="9" ht="20" customHeight="1">
      <c r="A9" s="3" t="inlineStr">
        <is>
          <t>How the score was reached</t>
        </is>
      </c>
      <c r="B9" s="4" t="n"/>
      <c r="C9" s="4" t="n"/>
      <c r="D9" s="4" t="n"/>
      <c r="E9" s="4" t="n"/>
    </row>
    <row r="10" ht="28" customHeight="1">
      <c r="A10" s="5" t="inlineStr">
        <is>
          <t>Step</t>
        </is>
      </c>
      <c r="B10" s="5" t="inlineStr">
        <is>
          <t>Input value</t>
        </is>
      </c>
      <c r="C10" s="5" t="inlineStr">
        <is>
          <t>Band applied</t>
        </is>
      </c>
      <c r="D10" s="5" t="inlineStr">
        <is>
          <t>Adjustment</t>
        </is>
      </c>
      <c r="E10" s="5" t="inlineStr">
        <is>
          <t>Running score</t>
        </is>
      </c>
    </row>
    <row r="11">
      <c r="A11" s="7" t="inlineStr">
        <is>
          <t>Starting score</t>
        </is>
      </c>
      <c r="B11" s="7" t="inlineStr">
        <is>
          <t>-</t>
        </is>
      </c>
      <c r="C11" s="7" t="inlineStr">
        <is>
          <t>-</t>
        </is>
      </c>
      <c r="D11" s="17" t="n">
        <v>0</v>
      </c>
      <c r="E11" s="17" t="n">
        <v>1000</v>
      </c>
    </row>
    <row r="12">
      <c r="A12" s="7" t="inlineStr">
        <is>
          <t>Repayment discipline</t>
        </is>
      </c>
      <c r="B12" s="15" t="n">
        <v>98</v>
      </c>
      <c r="C12" s="7" t="inlineStr">
        <is>
          <t>90 or above — no deduction</t>
        </is>
      </c>
      <c r="D12" s="17" t="n">
        <v>0</v>
      </c>
      <c r="E12" s="17">
        <f>E11+D12</f>
        <v/>
      </c>
    </row>
    <row r="13">
      <c r="A13" s="7" t="inlineStr">
        <is>
          <t>FOIR</t>
        </is>
      </c>
      <c r="B13" s="20" t="n">
        <v>0.359</v>
      </c>
      <c r="C13" s="7" t="inlineStr">
        <is>
          <t>0.45 or below — Prime (no deduction)</t>
        </is>
      </c>
      <c r="D13" s="17" t="n">
        <v>0</v>
      </c>
      <c r="E13" s="17">
        <f>E12+D13</f>
        <v/>
      </c>
    </row>
    <row r="14">
      <c r="A14" s="7" t="inlineStr">
        <is>
          <t>Balance volatility</t>
        </is>
      </c>
      <c r="B14" s="21" t="n">
        <v>0</v>
      </c>
      <c r="C14" s="7" t="inlineStr">
        <is>
          <t>0.20 or below — stable</t>
        </is>
      </c>
      <c r="D14" s="17" t="n">
        <v>0</v>
      </c>
      <c r="E14" s="17">
        <f>E13+D14</f>
        <v/>
      </c>
    </row>
    <row r="15">
      <c r="A15" s="7" t="inlineStr">
        <is>
          <t>Irregularity penalties</t>
        </is>
      </c>
      <c r="B15" s="19" t="n">
        <v>0</v>
      </c>
      <c r="C15" s="7" t="inlineStr">
        <is>
          <t>calibrated penalty points</t>
        </is>
      </c>
      <c r="D15" s="17" t="n">
        <v>0</v>
      </c>
      <c r="E15" s="17">
        <f>E14+D15</f>
        <v/>
      </c>
    </row>
    <row r="16">
      <c r="A16" s="7" t="inlineStr">
        <is>
          <t>Cheque bounce rate</t>
        </is>
      </c>
      <c r="B16" s="19" t="n">
        <v>0</v>
      </c>
      <c r="C16" s="7" t="inlineStr">
        <is>
          <t>10% or below — no deduction</t>
        </is>
      </c>
      <c r="D16" s="17" t="n">
        <v>0</v>
      </c>
      <c r="E16" s="17">
        <f>E15+D16</f>
        <v/>
      </c>
    </row>
    <row r="17">
      <c r="A17" s="7" t="inlineStr">
        <is>
          <t>Trajectory</t>
        </is>
      </c>
      <c r="B17" s="7" t="inlineStr">
        <is>
          <t>STABLE</t>
        </is>
      </c>
      <c r="C17" s="7" t="inlineStr">
        <is>
          <t>stable — no adjustment</t>
        </is>
      </c>
      <c r="D17" s="17" t="n">
        <v>0</v>
      </c>
      <c r="E17" s="17">
        <f>E16+D17</f>
        <v/>
      </c>
    </row>
    <row r="18">
      <c r="A18" s="7" t="inlineStr">
        <is>
          <t>Risk &amp; sufficiency ceiling</t>
        </is>
      </c>
      <c r="B18" s="7" t="inlineStr">
        <is>
          <t>Ceiling</t>
        </is>
      </c>
      <c r="C18" s="7" t="inlineStr">
        <is>
          <t>Borrower demonstrates exemplary repayment discipline.</t>
        </is>
      </c>
      <c r="D18" s="17" t="n">
        <v>-220</v>
      </c>
      <c r="E18" s="17">
        <f>E17+D18</f>
        <v/>
      </c>
    </row>
    <row r="19">
      <c r="A19" s="6" t="inlineStr">
        <is>
          <t>Final score</t>
        </is>
      </c>
      <c r="D19" s="14">
        <f>SUM(D11:D18)</f>
        <v/>
      </c>
      <c r="E19" s="14">
        <f>E18</f>
        <v/>
      </c>
    </row>
    <row r="20">
      <c r="A20" s="6" t="inlineStr">
        <is>
          <t>Reported by engine</t>
        </is>
      </c>
      <c r="E20" s="14" t="n">
        <v>780</v>
      </c>
    </row>
    <row r="21">
      <c r="A21" s="6" t="inlineStr">
        <is>
          <t>Itemisation agrees</t>
        </is>
      </c>
      <c r="E21" s="22">
        <f>IF(E19=E20,"YES","NO — see note")</f>
        <v/>
      </c>
    </row>
    <row r="22"/>
    <row r="23">
      <c r="A23" s="23" t="inlineStr">
        <is>
          <t>Bands mirror src/feature_aggregator.py exactly: repayment discipline −250 below 70 or −100 below 90; FOIR −180/−80/−30 above 0.70/0.50/0.30; volatility −120/−60/−20 above 0.70/0.40/0.15; irregularities minus their penalty points capped at 300; cheque bounce −150 above 10%; trajectory +20 positive or −40 negative. Full reasoning in CALCULATIONS.md section 15.</t>
        </is>
      </c>
    </row>
    <row r="24"/>
    <row r="25"/>
  </sheetData>
  <mergeCells count="1">
    <mergeCell ref="A23:E2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12" customWidth="1" min="4" max="4"/>
    <col width="10" customWidth="1" min="5" max="5"/>
  </cols>
  <sheetData>
    <row r="1" ht="20" customHeight="1">
      <c r="A1" s="3" t="inlineStr">
        <is>
          <t>Extraction fidelity</t>
        </is>
      </c>
      <c r="B1" s="4" t="n"/>
      <c r="C1" s="4" t="n"/>
      <c r="D1" s="4" t="n"/>
      <c r="E1" s="4" t="n"/>
    </row>
    <row r="2">
      <c r="A2" s="6" t="inlineStr">
        <is>
          <t>Verdict</t>
        </is>
      </c>
      <c r="B2" s="7" t="inlineStr">
        <is>
          <t>NOT RUN</t>
        </is>
      </c>
    </row>
    <row r="3">
      <c r="A3" s="6" t="inlineStr">
        <is>
          <t>Anchors found on statement</t>
        </is>
      </c>
      <c r="B3" s="17" t="inlineStr">
        <is>
          <t>-</t>
        </is>
      </c>
    </row>
    <row r="4"/>
    <row r="5" ht="28" customHeight="1">
      <c r="A5" s="5" t="inlineStr">
        <is>
          <t>Check</t>
        </is>
      </c>
      <c r="B5" s="5" t="inlineStr">
        <is>
          <t>Statement says</t>
        </is>
      </c>
      <c r="C5" s="5" t="inlineStr">
        <is>
          <t>We read</t>
        </is>
      </c>
      <c r="D5" s="5" t="inlineStr">
        <is>
          <t>Difference</t>
        </is>
      </c>
      <c r="E5" s="5" t="inlineStr">
        <is>
          <t>Result</t>
        </is>
      </c>
    </row>
    <row r="6"/>
    <row r="7" ht="20" customHeight="1">
      <c r="A7" s="3" t="inlineStr">
        <is>
          <t>Cross-engine reconciliation</t>
        </is>
      </c>
      <c r="B7" s="4" t="n"/>
      <c r="C7" s="4" t="n"/>
      <c r="D7" s="4" t="n"/>
      <c r="E7" s="4" t="n"/>
    </row>
    <row r="8">
      <c r="A8" s="6" t="inlineStr">
        <is>
          <t>Status</t>
        </is>
      </c>
      <c r="B8" s="7" t="inlineStr">
        <is>
          <t>NOT RUN</t>
        </is>
      </c>
    </row>
    <row r="9" ht="28" customHeight="1">
      <c r="A9" s="5" t="inlineStr">
        <is>
          <t>Check</t>
        </is>
      </c>
      <c r="B9" s="5" t="inlineStr">
        <is>
          <t>Expected</t>
        </is>
      </c>
      <c r="C9" s="5" t="inlineStr">
        <is>
          <t>Actual</t>
        </is>
      </c>
      <c r="D9" s="5" t="inlineStr">
        <is>
          <t>Difference</t>
        </is>
      </c>
      <c r="E9" s="5" t="inlineStr">
        <is>
          <t>Result</t>
        </is>
      </c>
    </row>
    <row r="10"/>
    <row r="11" ht="20" customHeight="1">
      <c r="A11" s="3" t="inlineStr">
        <is>
          <t>How the statement was read</t>
        </is>
      </c>
      <c r="B11" s="4" t="n"/>
    </row>
    <row r="12">
      <c r="A12" s="6" t="inlineStr">
        <is>
          <t>Template used</t>
        </is>
      </c>
      <c r="B12" s="7" t="inlineStr">
        <is>
          <t>-</t>
        </is>
      </c>
    </row>
    <row r="13">
      <c r="A13" s="6" t="inlineStr">
        <is>
          <t>Generic template fallback</t>
        </is>
      </c>
      <c r="B13" s="7" t="inlineStr">
        <is>
          <t>-</t>
        </is>
      </c>
    </row>
    <row r="14">
      <c r="A14" s="6" t="inlineStr">
        <is>
          <t>Pages in statement</t>
        </is>
      </c>
      <c r="B14" s="17" t="inlineStr">
        <is>
          <t>-</t>
        </is>
      </c>
    </row>
    <row r="15">
      <c r="A15" s="6" t="inlineStr">
        <is>
          <t>Pages without a table</t>
        </is>
      </c>
      <c r="B15" s="17" t="inlineStr">
        <is>
          <t>-</t>
        </is>
      </c>
    </row>
    <row r="16">
      <c r="A16" s="6" t="inlineStr">
        <is>
          <t>Rows extracted</t>
        </is>
      </c>
      <c r="B16" s="17" t="inlineStr">
        <is>
          <t>-</t>
        </is>
      </c>
    </row>
    <row r="17">
      <c r="A17" s="6" t="inlineStr">
        <is>
          <t>Balance chain breaks</t>
        </is>
      </c>
      <c r="B17" s="17" t="inlineStr">
        <is>
          <t>-</t>
        </is>
      </c>
    </row>
    <row r="18">
      <c r="A18" s="6" t="inlineStr">
        <is>
          <t>Junk rows removed</t>
        </is>
      </c>
      <c r="B18" s="17" t="inlineStr">
        <is>
          <t>-</t>
        </is>
      </c>
    </row>
    <row r="19">
      <c r="A19" s="6" t="inlineStr">
        <is>
          <t>Duplicate rows removed</t>
        </is>
      </c>
      <c r="B19" s="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2026-09-21T16:08:49Z</dcterms:created>
  <dcterms:modified xmlns:dcterms="http://purl.org/dc/terms/" xmlns:xsi="http://www.w3.org/2001/XMLSchema-instance" xsi:type="dcterms:W3CDTF">2026-09-21T16:08:49Z</dcterms:modified>
</cp:coreProperties>
</file>